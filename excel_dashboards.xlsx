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P&amp;L Dashboard" sheetId="1" state="visible" r:id="rId3"/>
    <sheet name="2. Balance Sheet" sheetId="2" state="visible" r:id="rId4"/>
    <sheet name="3. Cash Flow" sheetId="3" state="visible" r:id="rId5"/>
    <sheet name="4. Budget vs Actuals" sheetId="4" state="visible" r:id="rId6"/>
    <sheet name="5. KPI Dashboard" sheetId="5" state="visible" r:id="rId7"/>
    <sheet name="6. Cash Out Dashboard" sheetId="6" state="visible" r:id="rId8"/>
    <sheet name="7. Non-GAAP Metrics" sheetId="7" state="visible" r:id="rId9"/>
    <sheet name="8. Comparison Analysis" sheetId="8" state="visible" r:id="rId10"/>
    <sheet name="9. Margins Analysis" sheetId="9" state="visible" r:id="rId11"/>
    <sheet name="10. Presentatio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<sst xmlns="http://schemas.openxmlformats.org/spreadsheetml/2006/main" count="173" uniqueCount="144">
  <si>
    <t xml:space="preserve">PROFIT &amp; LOSS DASHBOARD</t>
  </si>
  <si>
    <t xml:space="preserve">All figures in $000s</t>
  </si>
  <si>
    <t xml:space="preserve">REVENUE</t>
  </si>
  <si>
    <t xml:space="preserve">Jan 2025</t>
  </si>
  <si>
    <t xml:space="preserve">Feb 2025</t>
  </si>
  <si>
    <t xml:space="preserve">Mar 2025</t>
  </si>
  <si>
    <t xml:space="preserve">Q1 2025</t>
  </si>
  <si>
    <t xml:space="preserve">YTD</t>
  </si>
  <si>
    <t xml:space="preserve">Trailing 12M</t>
  </si>
  <si>
    <t xml:space="preserve">Product Sales</t>
  </si>
  <si>
    <t xml:space="preserve">Service Revenue</t>
  </si>
  <si>
    <t xml:space="preserve">Subscription Revenue</t>
  </si>
  <si>
    <t xml:space="preserve">Total Revenue</t>
  </si>
  <si>
    <t xml:space="preserve">COST OF GOODS SOLD</t>
  </si>
  <si>
    <t xml:space="preserve">Direct Materials</t>
  </si>
  <si>
    <t xml:space="preserve">Direct Labor</t>
  </si>
  <si>
    <t xml:space="preserve">Manufacturing Overhead</t>
  </si>
  <si>
    <t xml:space="preserve">Total COGS</t>
  </si>
  <si>
    <t xml:space="preserve">Gross Profit</t>
  </si>
  <si>
    <t xml:space="preserve">Gross Margin %</t>
  </si>
  <si>
    <t xml:space="preserve">BALANCE SHEET DASHBOARD</t>
  </si>
  <si>
    <t xml:space="preserve">ASSETS</t>
  </si>
  <si>
    <t xml:space="preserve">Dec 2024</t>
  </si>
  <si>
    <t xml:space="preserve">Current Assets</t>
  </si>
  <si>
    <t xml:space="preserve">  Cash &amp; Cash Equivalents</t>
  </si>
  <si>
    <t xml:space="preserve">  Accounts Receivable</t>
  </si>
  <si>
    <t xml:space="preserve">  Inventory</t>
  </si>
  <si>
    <t xml:space="preserve">  Prepaid Expenses</t>
  </si>
  <si>
    <t xml:space="preserve">Total Current Assets</t>
  </si>
  <si>
    <t xml:space="preserve">Fixed Assets</t>
  </si>
  <si>
    <t xml:space="preserve">  Property &amp; Equipment</t>
  </si>
  <si>
    <t xml:space="preserve">  Less: Accumulated Depreciation</t>
  </si>
  <si>
    <t xml:space="preserve">Net Fixed Assets</t>
  </si>
  <si>
    <t xml:space="preserve">TOTAL ASSETS</t>
  </si>
  <si>
    <t xml:space="preserve">STATEMENT OF CASH FLOWS</t>
  </si>
  <si>
    <t xml:space="preserve">Cash Flow Activity</t>
  </si>
  <si>
    <t xml:space="preserve">OPERATING ACTIVITIES</t>
  </si>
  <si>
    <t xml:space="preserve">  Net Income</t>
  </si>
  <si>
    <t xml:space="preserve">  Depreciation &amp; Amortization</t>
  </si>
  <si>
    <t xml:space="preserve">  Changes in Working Capital</t>
  </si>
  <si>
    <t xml:space="preserve">Net Cash from Operations</t>
  </si>
  <si>
    <t xml:space="preserve">INVESTING ACTIVITIES</t>
  </si>
  <si>
    <t xml:space="preserve">  Capital Expenditures</t>
  </si>
  <si>
    <t xml:space="preserve">Net Cash from Investing</t>
  </si>
  <si>
    <t xml:space="preserve">FINANCING ACTIVITIES</t>
  </si>
  <si>
    <t xml:space="preserve">  Debt Repayment</t>
  </si>
  <si>
    <t xml:space="preserve">Net Cash from Financing</t>
  </si>
  <si>
    <t xml:space="preserve">NET CHANGE IN CASH</t>
  </si>
  <si>
    <t xml:space="preserve">BUDGET VS ACTUALS - Q1 2025</t>
  </si>
  <si>
    <t xml:space="preserve">Revenue Line Item</t>
  </si>
  <si>
    <t xml:space="preserve">Budget</t>
  </si>
  <si>
    <t xml:space="preserve">Actual</t>
  </si>
  <si>
    <t xml:space="preserve">Variance $</t>
  </si>
  <si>
    <t xml:space="preserve">Variance %</t>
  </si>
  <si>
    <t xml:space="preserve">Other Revenue</t>
  </si>
  <si>
    <t xml:space="preserve">KEY INSIGHTS</t>
  </si>
  <si>
    <t xml:space="preserve">• Product Sales exceeded budget by $25K (1.8%)</t>
  </si>
  <si>
    <t xml:space="preserve">• Other Revenue came in $5K below budget due to delayed partnership</t>
  </si>
  <si>
    <t xml:space="preserve">• Overall performance: 1.0% above budget</t>
  </si>
  <si>
    <t xml:space="preserve">KEY PERFORMANCE INDICATORS - March 2025</t>
  </si>
  <si>
    <t xml:space="preserve">Metric</t>
  </si>
  <si>
    <t xml:space="preserve">Current</t>
  </si>
  <si>
    <t xml:space="preserve">Previous</t>
  </si>
  <si>
    <t xml:space="preserve">Change</t>
  </si>
  <si>
    <t xml:space="preserve">Status</t>
  </si>
  <si>
    <t xml:space="preserve">Monthly Revenue</t>
  </si>
  <si>
    <t xml:space="preserve">Gross Margin</t>
  </si>
  <si>
    <t xml:space="preserve">Customer Acquisition Cost</t>
  </si>
  <si>
    <t xml:space="preserve">Monthly Recurring Revenue</t>
  </si>
  <si>
    <t xml:space="preserve">Customer Churn Rate</t>
  </si>
  <si>
    <t xml:space="preserve">Net Promoter Score</t>
  </si>
  <si>
    <t xml:space="preserve">Operating Cash Flow</t>
  </si>
  <si>
    <t xml:space="preserve">Quick Ratio</t>
  </si>
  <si>
    <t xml:space="preserve">CASH RUNWAY PROJECTION</t>
  </si>
  <si>
    <t xml:space="preserve">Scenario: Current Burn Rate</t>
  </si>
  <si>
    <t xml:space="preserve">Key Assumptions</t>
  </si>
  <si>
    <t xml:space="preserve">Starting Cash Balance (Mar 2025)</t>
  </si>
  <si>
    <t xml:space="preserve">Monthly Cash Burn</t>
  </si>
  <si>
    <t xml:space="preserve">Expected Monthly Revenue Growth</t>
  </si>
  <si>
    <t xml:space="preserve">Month</t>
  </si>
  <si>
    <t xml:space="preserve">Cash Balance</t>
  </si>
  <si>
    <t xml:space="preserve">Monthly Burn</t>
  </si>
  <si>
    <t xml:space="preserve">Months to Zero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</si>
  <si>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</si>
  <si>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</si>
  <si>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</si>
  <si>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</si>
  <si>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</si>
  <si>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</si>
  <si>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</si>
  <si>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</si>
  <si>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</si>
  <si>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</si>
  <si>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</si>
  <si>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</si>
  <si>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SaaS METRICS DASHBOARD</t>
  </si>
  <si>
    <t xml:space="preserve">Growth</t>
  </si>
  <si>
    <t xml:space="preserve">Monthly Recurring Revenue (MRR)</t>
  </si>
  <si>
    <t xml:space="preserve">Annual Recurring Revenue (ARR)</t>
  </si>
  <si>
    <t xml:space="preserve">Total Customers</t>
  </si>
  <si>
    <t xml:space="preserve">New Customers</t>
  </si>
  <si>
    <t xml:space="preserve">Churned Customers</t>
  </si>
  <si>
    <t xml:space="preserve">Net MRR Churn Rate</t>
  </si>
  <si>
    <t xml:space="preserve">Average Revenue Per Account (ARPA)</t>
  </si>
  <si>
    <t xml:space="preserve">Customer Acquisition Cost (CAC)</t>
  </si>
  <si>
    <t xml:space="preserve">Customer Lifetime Value (LTV)</t>
  </si>
  <si>
    <t xml:space="preserve">LTV:CAC Ratio</t>
  </si>
  <si>
    <t xml:space="preserve">PERIOD COMPARISON ANALYSIS</t>
  </si>
  <si>
    <t xml:space="preserve">Q1 2024</t>
  </si>
  <si>
    <t xml:space="preserve">YoY Change $</t>
  </si>
  <si>
    <t xml:space="preserve">YoY Change %</t>
  </si>
  <si>
    <t xml:space="preserve">MARGIN TRENDS - TRAILING 12 MONTHS</t>
  </si>
  <si>
    <t xml:space="preserve">Revenue</t>
  </si>
  <si>
    <t xml:space="preserve">COGS</t>
  </si>
  <si>
    <t xml:space="preserve">Apr-24</t>
  </si>
  <si>
    <t xml:space="preserve">May-24</t>
  </si>
  <si>
    <t xml:space="preserve">Jun-24</t>
  </si>
  <si>
    <t xml:space="preserve">Jul-24</t>
  </si>
  <si>
    <t xml:space="preserve">Aug-24</t>
  </si>
  <si>
    <t xml:space="preserve">Sep-24</t>
  </si>
  <si>
    <t xml:space="preserve">Oct-24</t>
  </si>
  <si>
    <t xml:space="preserve">Nov-24</t>
  </si>
  <si>
    <t xml:space="preserve">Dec-24</t>
  </si>
  <si>
    <t xml:space="preserve">Jan-25</t>
  </si>
  <si>
    <t xml:space="preserve">Feb-25</t>
  </si>
  <si>
    <t xml:space="preserve">Mar-25</t>
  </si>
  <si>
    <t xml:space="preserve">T12M Averages</t>
  </si>
  <si>
    <t xml:space="preserve">EXECUTIVE SUMMARY - Q1 2025</t>
  </si>
  <si>
    <t xml:space="preserve">FINANCIAL HIGHLIGHTS</t>
  </si>
  <si>
    <t xml:space="preserve">Q1 Revenue</t>
  </si>
  <si>
    <t xml:space="preserve">vs Budget: +1.0%</t>
  </si>
  <si>
    <t xml:space="preserve">vs Prior Year: +0.9pp</t>
  </si>
  <si>
    <t xml:space="preserve">Strong operational efficiency</t>
  </si>
  <si>
    <t xml:space="preserve">KEY ACHIEVEMENTS</t>
  </si>
  <si>
    <t xml:space="preserve">✓ Exceeded quarterly revenue target by $28K</t>
  </si>
  <si>
    <t xml:space="preserve">✓ Product sales up 11% YoY driven by new customer wins</t>
  </si>
  <si>
    <t xml:space="preserve">✓ Subscription revenue growing steadily at 19% YoY</t>
  </si>
  <si>
    <t xml:space="preserve">✓ Successfully maintained gross margin above 58%</t>
  </si>
  <si>
    <t xml:space="preserve">✓ Cash runway remains healthy at 12.4 months</t>
  </si>
  <si>
    <t xml:space="preserve">FOCUS AREAS FOR Q2</t>
  </si>
  <si>
    <t xml:space="preserve">→ Accelerate new customer acquisition to achieve 60+ monthly additions</t>
  </si>
  <si>
    <t xml:space="preserve">→ Reduce customer churn from 3.2% to below 3.0%</t>
  </si>
  <si>
    <t xml:space="preserve">→ Launch new product features to increase ARPA by 5%</t>
  </si>
  <si>
    <t xml:space="preserve">→ Optimize operating expenses to improve operating margin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</si>
</sst>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0.0"/>
    <numFmt numFmtId="168" formatCode="0.0\x"/>
    <numFmt numFmtId="169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6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6B35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B35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0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0" t="s">
        <v>9</v>
      </c>
      <c r="B5" s="4" t="n">
        <v>450</v>
      </c>
      <c r="C5" s="4" t="n">
        <v>475</v>
      </c>
      <c r="D5" s="4" t="n">
        <v>500</v>
      </c>
      <c r="E5" s="5" t="n">
        <f aca="false">SUM(B5:D5)</f>
        <v>1425</v>
      </c>
    </row>
    <row r="6" customFormat="false" ht="15" hidden="false" customHeight="false" outlineLevel="0" collapsed="false">
      <c r="A6" s="0" t="s">
        <v>10</v>
      </c>
      <c r="B6" s="4" t="n">
        <v>180</v>
      </c>
      <c r="C6" s="4" t="n">
        <v>190</v>
      </c>
      <c r="D6" s="4" t="n">
        <v>200</v>
      </c>
      <c r="E6" s="5" t="n">
        <f aca="false">SUM(B6:D6)</f>
        <v>570</v>
      </c>
    </row>
    <row r="7" customFormat="false" ht="15" hidden="false" customHeight="false" outlineLevel="0" collapsed="false">
      <c r="A7" s="0" t="s">
        <v>11</v>
      </c>
      <c r="B7" s="4" t="n">
        <v>220</v>
      </c>
      <c r="C7" s="4" t="n">
        <v>230</v>
      </c>
      <c r="D7" s="4" t="n">
        <v>240</v>
      </c>
      <c r="E7" s="5" t="n">
        <f aca="false">SUM(B7:D7)</f>
        <v>690</v>
      </c>
    </row>
    <row r="8" customFormat="false" ht="15" hidden="false" customHeight="false" outlineLevel="0" collapsed="false">
      <c r="A8" s="6" t="s">
        <v>12</v>
      </c>
      <c r="B8" s="7" t="n">
        <f aca="false">SUM(B5:B7)</f>
        <v>850</v>
      </c>
      <c r="C8" s="7" t="n">
        <f aca="false">SUM(C5:C7)</f>
        <v>895</v>
      </c>
      <c r="D8" s="7" t="n">
        <f aca="false">SUM(D5:D7)</f>
        <v>940</v>
      </c>
      <c r="E8" s="7" t="n">
        <f aca="false">SUM(E5:E7)</f>
        <v>2685</v>
      </c>
    </row>
    <row r="10" customFormat="false" ht="15" hidden="false" customHeight="false" outlineLevel="0" collapsed="false">
      <c r="A10" s="6" t="s">
        <v>13</v>
      </c>
    </row>
    <row r="11" customFormat="false" ht="15" hidden="false" customHeight="false" outlineLevel="0" collapsed="false">
      <c r="A11" s="0" t="s">
        <v>14</v>
      </c>
      <c r="B11" s="4" t="n">
        <v>-180</v>
      </c>
      <c r="C11" s="4" t="n">
        <v>-190</v>
      </c>
      <c r="D11" s="4" t="n">
        <v>-200</v>
      </c>
      <c r="E11" s="5" t="n">
        <f aca="false">SUM(B11:D11)</f>
        <v>-570</v>
      </c>
    </row>
    <row r="12" customFormat="false" ht="15" hidden="false" customHeight="false" outlineLevel="0" collapsed="false">
      <c r="A12" s="0" t="s">
        <v>15</v>
      </c>
      <c r="B12" s="4" t="n">
        <v>-120</v>
      </c>
      <c r="C12" s="4" t="n">
        <v>-125</v>
      </c>
      <c r="D12" s="4" t="n">
        <v>-130</v>
      </c>
      <c r="E12" s="5" t="n">
        <f aca="false">SUM(B12:D12)</f>
        <v>-375</v>
      </c>
    </row>
    <row r="13" customFormat="false" ht="15" hidden="false" customHeight="false" outlineLevel="0" collapsed="false">
      <c r="A13" s="0" t="s">
        <v>16</v>
      </c>
      <c r="B13" s="4" t="n">
        <v>-50</v>
      </c>
      <c r="C13" s="4" t="n">
        <v>-52</v>
      </c>
      <c r="D13" s="4" t="n">
        <v>-55</v>
      </c>
      <c r="E13" s="5" t="n">
        <f aca="false">SUM(B13:D13)</f>
        <v>-157</v>
      </c>
    </row>
    <row r="14" customFormat="false" ht="15" hidden="false" customHeight="false" outlineLevel="0" collapsed="false">
      <c r="A14" s="6" t="s">
        <v>17</v>
      </c>
      <c r="B14" s="8" t="n">
        <f aca="false">SUM(B11:B13)</f>
        <v>-350</v>
      </c>
      <c r="C14" s="8" t="n">
        <f aca="false">SUM(C11:C13)</f>
        <v>-367</v>
      </c>
      <c r="D14" s="8" t="n">
        <f aca="false">SUM(D11:D13)</f>
        <v>-385</v>
      </c>
      <c r="E14" s="8" t="n">
        <f aca="false">SUM(E11:E13)</f>
        <v>-1102</v>
      </c>
    </row>
    <row r="15" customFormat="false" ht="15" hidden="false" customHeight="false" outlineLevel="0" collapsed="false">
      <c r="A15" s="6" t="s">
        <v>18</v>
      </c>
      <c r="B15" s="7" t="n">
        <f aca="false">B8+B14</f>
        <v>500</v>
      </c>
      <c r="C15" s="7" t="n">
        <f aca="false">C8+C14</f>
        <v>528</v>
      </c>
      <c r="D15" s="7" t="n">
        <f aca="false">D8+D14</f>
        <v>555</v>
      </c>
      <c r="E15" s="7" t="n">
        <f aca="false">E8+E14</f>
        <v>1583</v>
      </c>
    </row>
    <row r="16" customFormat="false" ht="15" hidden="false" customHeight="false" outlineLevel="0" collapsed="false">
      <c r="A16" s="6" t="s">
        <v>19</v>
      </c>
      <c r="B16" s="9" t="n">
        <f aca="false">B15/B8</f>
        <v>0.588235294117647</v>
      </c>
      <c r="C16" s="9" t="n">
        <f aca="false">C15/C8</f>
        <v>0.589944134078212</v>
      </c>
      <c r="D16" s="9" t="n">
        <f aca="false">D15/D8</f>
        <v>0.590425531914894</v>
      </c>
      <c r="E16" s="9" t="n">
        <f aca="false">E15/E8</f>
        <v>0.589571694599628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0" t="s">
        <v>21</v>
      </c>
      <c r="B4" s="3" t="s">
        <v>22</v>
      </c>
      <c r="C4" s="3" t="s">
        <v>3</v>
      </c>
      <c r="D4" s="3" t="s">
        <v>4</v>
      </c>
      <c r="E4" s="3" t="s">
        <v>5</v>
      </c>
    </row>
    <row r="5" customFormat="false" ht="15" hidden="false" customHeight="false" outlineLevel="0" collapsed="false">
      <c r="A5" s="6" t="s">
        <v>23</v>
      </c>
    </row>
    <row r="6" customFormat="false" ht="15" hidden="false" customHeight="false" outlineLevel="0" collapsed="false">
      <c r="A6" s="0" t="s">
        <v>24</v>
      </c>
      <c r="B6" s="4" t="n">
        <v>850</v>
      </c>
      <c r="C6" s="4" t="n">
        <v>920</v>
      </c>
      <c r="D6" s="4" t="n">
        <v>880</v>
      </c>
      <c r="E6" s="4" t="n">
        <v>1050</v>
      </c>
    </row>
    <row r="7" customFormat="false" ht="15" hidden="false" customHeight="false" outlineLevel="0" collapsed="false">
      <c r="A7" s="0" t="s">
        <v>25</v>
      </c>
      <c r="B7" s="4" t="n">
        <v>450</v>
      </c>
      <c r="C7" s="4" t="n">
        <v>475</v>
      </c>
      <c r="D7" s="4" t="n">
        <v>490</v>
      </c>
      <c r="E7" s="4" t="n">
        <v>520</v>
      </c>
    </row>
    <row r="8" customFormat="false" ht="15" hidden="false" customHeight="false" outlineLevel="0" collapsed="false">
      <c r="A8" s="0" t="s">
        <v>26</v>
      </c>
      <c r="B8" s="4" t="n">
        <v>320</v>
      </c>
      <c r="C8" s="4" t="n">
        <v>310</v>
      </c>
      <c r="D8" s="4" t="n">
        <v>335</v>
      </c>
      <c r="E8" s="4" t="n">
        <v>340</v>
      </c>
    </row>
    <row r="9" customFormat="false" ht="15" hidden="false" customHeight="false" outlineLevel="0" collapsed="false">
      <c r="A9" s="0" t="s">
        <v>27</v>
      </c>
      <c r="B9" s="4" t="n">
        <v>80</v>
      </c>
      <c r="C9" s="4" t="n">
        <v>75</v>
      </c>
      <c r="D9" s="4" t="n">
        <v>78</v>
      </c>
      <c r="E9" s="4" t="n">
        <v>82</v>
      </c>
    </row>
    <row r="10" customFormat="false" ht="15" hidden="false" customHeight="false" outlineLevel="0" collapsed="false">
      <c r="A10" s="6" t="s">
        <v>28</v>
      </c>
      <c r="B10" s="7" t="n">
        <f aca="false">SUM(B6:B9)</f>
        <v>1700</v>
      </c>
      <c r="C10" s="7" t="n">
        <f aca="false">SUM(C6:C9)</f>
        <v>1780</v>
      </c>
      <c r="D10" s="7" t="n">
        <f aca="false">SUM(D6:D9)</f>
        <v>1783</v>
      </c>
      <c r="E10" s="7" t="n">
        <f aca="false">SUM(E6:E9)</f>
        <v>1992</v>
      </c>
    </row>
    <row r="12" customFormat="false" ht="15" hidden="false" customHeight="false" outlineLevel="0" collapsed="false">
      <c r="A12" s="6" t="s">
        <v>29</v>
      </c>
    </row>
    <row r="13" customFormat="false" ht="15" hidden="false" customHeight="false" outlineLevel="0" collapsed="false">
      <c r="A13" s="0" t="s">
        <v>30</v>
      </c>
      <c r="B13" s="4" t="n">
        <v>2500</v>
      </c>
      <c r="C13" s="4" t="n">
        <v>2500</v>
      </c>
      <c r="D13" s="4" t="n">
        <v>2550</v>
      </c>
      <c r="E13" s="4" t="n">
        <v>2550</v>
      </c>
    </row>
    <row r="14" customFormat="false" ht="15" hidden="false" customHeight="false" outlineLevel="0" collapsed="false">
      <c r="A14" s="0" t="s">
        <v>31</v>
      </c>
      <c r="B14" s="4" t="n">
        <v>-450</v>
      </c>
      <c r="C14" s="4" t="n">
        <v>-475</v>
      </c>
      <c r="D14" s="4" t="n">
        <v>-500</v>
      </c>
      <c r="E14" s="4" t="n">
        <v>-525</v>
      </c>
    </row>
    <row r="15" customFormat="false" ht="15" hidden="false" customHeight="false" outlineLevel="0" collapsed="false">
      <c r="A15" s="6" t="s">
        <v>32</v>
      </c>
      <c r="B15" s="7" t="n">
        <f aca="false">B13+B14</f>
        <v>2050</v>
      </c>
      <c r="C15" s="7" t="n">
        <f aca="false">C13+C14</f>
        <v>2025</v>
      </c>
      <c r="D15" s="7" t="n">
        <f aca="false">D13+D14</f>
        <v>2050</v>
      </c>
      <c r="E15" s="7" t="n">
        <f aca="false">E13+E14</f>
        <v>2025</v>
      </c>
    </row>
    <row r="17" customFormat="false" ht="15" hidden="false" customHeight="false" outlineLevel="0" collapsed="false">
      <c r="A17" s="10" t="s">
        <v>33</v>
      </c>
      <c r="B17" s="11" t="n">
        <f aca="false">B10+B15</f>
        <v>3750</v>
      </c>
      <c r="C17" s="11" t="n">
        <f aca="false">C10+C15</f>
        <v>3805</v>
      </c>
      <c r="D17" s="11" t="n">
        <f aca="false">D10+D15</f>
        <v>3833</v>
      </c>
      <c r="E17" s="11" t="n">
        <f aca="false">E10+E15</f>
        <v>4017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0" t="s">
        <v>35</v>
      </c>
      <c r="B4" s="3" t="s">
        <v>3</v>
      </c>
      <c r="C4" s="3" t="s">
        <v>4</v>
      </c>
      <c r="D4" s="3" t="s">
        <v>5</v>
      </c>
      <c r="E4" s="3" t="s">
        <v>6</v>
      </c>
    </row>
    <row r="6" customFormat="false" ht="15" hidden="false" customHeight="false" outlineLevel="0" collapsed="false">
      <c r="A6" s="6" t="s">
        <v>36</v>
      </c>
    </row>
    <row r="7" customFormat="false" ht="15" hidden="false" customHeight="false" outlineLevel="0" collapsed="false">
      <c r="A7" s="0" t="s">
        <v>37</v>
      </c>
      <c r="B7" s="4" t="n">
        <v>180</v>
      </c>
      <c r="C7" s="4" t="n">
        <v>195</v>
      </c>
      <c r="D7" s="4" t="n">
        <v>210</v>
      </c>
      <c r="E7" s="5" t="n">
        <f aca="false">SUM(B7:D7)</f>
        <v>585</v>
      </c>
    </row>
    <row r="8" customFormat="false" ht="15" hidden="false" customHeight="false" outlineLevel="0" collapsed="false">
      <c r="A8" s="0" t="s">
        <v>38</v>
      </c>
      <c r="B8" s="4" t="n">
        <v>25</v>
      </c>
      <c r="C8" s="4" t="n">
        <v>25</v>
      </c>
      <c r="D8" s="4" t="n">
        <v>25</v>
      </c>
      <c r="E8" s="5" t="n">
        <f aca="false">SUM(B8:D8)</f>
        <v>75</v>
      </c>
    </row>
    <row r="9" customFormat="false" ht="15" hidden="false" customHeight="false" outlineLevel="0" collapsed="false">
      <c r="A9" s="0" t="s">
        <v>39</v>
      </c>
      <c r="B9" s="4" t="n">
        <v>-50</v>
      </c>
      <c r="C9" s="4" t="n">
        <v>30</v>
      </c>
      <c r="D9" s="4" t="n">
        <v>45</v>
      </c>
      <c r="E9" s="5" t="n">
        <f aca="false">SUM(B9:D9)</f>
        <v>25</v>
      </c>
    </row>
    <row r="10" customFormat="false" ht="15" hidden="false" customHeight="false" outlineLevel="0" collapsed="false">
      <c r="A10" s="6" t="s">
        <v>40</v>
      </c>
      <c r="B10" s="7" t="n">
        <f aca="false">SUM(B7:B9)</f>
        <v>155</v>
      </c>
      <c r="C10" s="7" t="n">
        <f aca="false">SUM(C7:C9)</f>
        <v>250</v>
      </c>
      <c r="D10" s="7" t="n">
        <f aca="false">SUM(D7:D9)</f>
        <v>280</v>
      </c>
      <c r="E10" s="7" t="n">
        <f aca="false">SUM(E7:E9)</f>
        <v>685</v>
      </c>
    </row>
    <row r="12" customFormat="false" ht="15" hidden="false" customHeight="false" outlineLevel="0" collapsed="false">
      <c r="A12" s="6" t="s">
        <v>41</v>
      </c>
    </row>
    <row r="13" customFormat="false" ht="15" hidden="false" customHeight="false" outlineLevel="0" collapsed="false">
      <c r="A13" s="0" t="s">
        <v>42</v>
      </c>
      <c r="B13" s="4" t="n">
        <v>0</v>
      </c>
      <c r="C13" s="4" t="n">
        <v>-50</v>
      </c>
      <c r="D13" s="4" t="n">
        <v>0</v>
      </c>
      <c r="E13" s="5" t="n">
        <f aca="false">SUM(B13:D13)</f>
        <v>-50</v>
      </c>
    </row>
    <row r="14" customFormat="false" ht="15" hidden="false" customHeight="false" outlineLevel="0" collapsed="false">
      <c r="A14" s="6" t="s">
        <v>43</v>
      </c>
      <c r="B14" s="7" t="n">
        <f aca="false">B13</f>
        <v>0</v>
      </c>
      <c r="C14" s="7" t="n">
        <f aca="false">C13</f>
        <v>-50</v>
      </c>
      <c r="D14" s="7" t="n">
        <f aca="false">D13</f>
        <v>0</v>
      </c>
      <c r="E14" s="7" t="n">
        <f aca="false">E13</f>
        <v>-50</v>
      </c>
    </row>
    <row r="16" customFormat="false" ht="15" hidden="false" customHeight="false" outlineLevel="0" collapsed="false">
      <c r="A16" s="6" t="s">
        <v>44</v>
      </c>
    </row>
    <row r="17" customFormat="false" ht="15" hidden="false" customHeight="false" outlineLevel="0" collapsed="false">
      <c r="A17" s="0" t="s">
        <v>45</v>
      </c>
      <c r="B17" s="4" t="n">
        <v>-30</v>
      </c>
      <c r="C17" s="4" t="n">
        <v>-30</v>
      </c>
      <c r="D17" s="4" t="n">
        <v>-30</v>
      </c>
      <c r="E17" s="5" t="n">
        <f aca="false">SUM(B17:D17)</f>
        <v>-90</v>
      </c>
    </row>
    <row r="18" customFormat="false" ht="15" hidden="false" customHeight="false" outlineLevel="0" collapsed="false">
      <c r="A18" s="6" t="s">
        <v>46</v>
      </c>
      <c r="B18" s="7" t="n">
        <f aca="false">B17</f>
        <v>-30</v>
      </c>
      <c r="C18" s="7" t="n">
        <f aca="false">C17</f>
        <v>-30</v>
      </c>
      <c r="D18" s="7" t="n">
        <f aca="false">D17</f>
        <v>-30</v>
      </c>
      <c r="E18" s="7" t="n">
        <f aca="false">E17</f>
        <v>-90</v>
      </c>
    </row>
    <row r="20" customFormat="false" ht="15" hidden="false" customHeight="false" outlineLevel="0" collapsed="false">
      <c r="A20" s="10" t="s">
        <v>47</v>
      </c>
      <c r="B20" s="11" t="n">
        <f aca="false">B10+B14+B18</f>
        <v>125</v>
      </c>
      <c r="C20" s="11" t="n">
        <f aca="false">C10+C14+C18</f>
        <v>170</v>
      </c>
      <c r="D20" s="11" t="n">
        <f aca="false">D10+D14+D18</f>
        <v>250</v>
      </c>
      <c r="E20" s="11" t="n">
        <f aca="false">E10+E14+E18</f>
        <v>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48</v>
      </c>
    </row>
    <row r="3" customFormat="false" ht="15" hidden="false" customHeight="false" outlineLevel="0" collapsed="false">
      <c r="A3" s="3" t="s">
        <v>49</v>
      </c>
      <c r="B3" s="3" t="s">
        <v>50</v>
      </c>
      <c r="C3" s="3" t="s">
        <v>51</v>
      </c>
      <c r="D3" s="3" t="s">
        <v>52</v>
      </c>
      <c r="E3" s="3" t="s">
        <v>53</v>
      </c>
    </row>
    <row r="4" customFormat="false" ht="15" hidden="false" customHeight="false" outlineLevel="0" collapsed="false">
      <c r="A4" s="0" t="s">
        <v>9</v>
      </c>
      <c r="B4" s="12" t="n">
        <v>1400</v>
      </c>
      <c r="C4" s="4" t="n">
        <v>1425</v>
      </c>
      <c r="D4" s="4" t="n">
        <f aca="false">C4-B4</f>
        <v>25</v>
      </c>
      <c r="E4" s="13" t="n">
        <f aca="false">IF(B4=0,"-",D4/B4)</f>
        <v>0.0178571428571429</v>
      </c>
    </row>
    <row r="5" customFormat="false" ht="15" hidden="false" customHeight="false" outlineLevel="0" collapsed="false">
      <c r="A5" s="0" t="s">
        <v>10</v>
      </c>
      <c r="B5" s="12" t="n">
        <v>560</v>
      </c>
      <c r="C5" s="4" t="n">
        <v>570</v>
      </c>
      <c r="D5" s="4" t="n">
        <f aca="false">C5-B5</f>
        <v>10</v>
      </c>
      <c r="E5" s="13" t="n">
        <f aca="false">IF(B5=0,"-",D5/B5)</f>
        <v>0.0178571428571429</v>
      </c>
    </row>
    <row r="6" customFormat="false" ht="15" hidden="false" customHeight="false" outlineLevel="0" collapsed="false">
      <c r="A6" s="0" t="s">
        <v>11</v>
      </c>
      <c r="B6" s="12" t="n">
        <v>680</v>
      </c>
      <c r="C6" s="4" t="n">
        <v>690</v>
      </c>
      <c r="D6" s="4" t="n">
        <f aca="false">C6-B6</f>
        <v>10</v>
      </c>
      <c r="E6" s="13" t="n">
        <f aca="false">IF(B6=0,"-",D6/B6)</f>
        <v>0.0147058823529412</v>
      </c>
    </row>
    <row r="7" customFormat="false" ht="15" hidden="false" customHeight="false" outlineLevel="0" collapsed="false">
      <c r="A7" s="0" t="s">
        <v>54</v>
      </c>
      <c r="B7" s="12" t="n">
        <v>100</v>
      </c>
      <c r="C7" s="4" t="n">
        <v>95</v>
      </c>
      <c r="D7" s="4" t="n">
        <f aca="false">C7-B7</f>
        <v>-5</v>
      </c>
      <c r="E7" s="13" t="n">
        <f aca="false">IF(B7=0,"-",D7/B7)</f>
        <v>-0.05</v>
      </c>
    </row>
    <row r="8" customFormat="false" ht="15" hidden="false" customHeight="false" outlineLevel="0" collapsed="false">
      <c r="A8" s="6" t="s">
        <v>12</v>
      </c>
      <c r="B8" s="7" t="n">
        <f aca="false">SUM(B4:B7)</f>
        <v>2740</v>
      </c>
      <c r="C8" s="7" t="n">
        <f aca="false">SUM(C4:C7)</f>
        <v>2780</v>
      </c>
      <c r="D8" s="7" t="n">
        <f aca="false">C8-B8</f>
        <v>40</v>
      </c>
      <c r="E8" s="14" t="n">
        <f aca="false">D8/B8</f>
        <v>0.0145985401459854</v>
      </c>
    </row>
    <row r="10" customFormat="false" ht="15" hidden="false" customHeight="false" outlineLevel="0" collapsed="false">
      <c r="A10" s="6" t="s">
        <v>55</v>
      </c>
    </row>
    <row r="11" customFormat="false" ht="15" hidden="false" customHeight="false" outlineLevel="0" collapsed="false">
      <c r="A11" s="0" t="s">
        <v>56</v>
      </c>
    </row>
    <row r="12" customFormat="false" ht="15" hidden="false" customHeight="false" outlineLevel="0" collapsed="false">
      <c r="A12" s="0" t="s">
        <v>57</v>
      </c>
    </row>
    <row r="13" customFormat="false" ht="15" hidden="false" customHeight="false" outlineLevel="0" collapsed="false">
      <c r="A13" s="0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59</v>
      </c>
    </row>
    <row r="3" customFormat="false" ht="15" hidden="false" customHeight="false" outlineLevel="0" collapsed="false">
      <c r="A3" s="3" t="s">
        <v>60</v>
      </c>
      <c r="B3" s="3" t="s">
        <v>61</v>
      </c>
      <c r="C3" s="3" t="s">
        <v>62</v>
      </c>
      <c r="D3" s="3" t="s">
        <v>63</v>
      </c>
      <c r="E3" s="3" t="s">
        <v>64</v>
      </c>
    </row>
    <row r="4" customFormat="false" ht="15" hidden="false" customHeight="false" outlineLevel="0" collapsed="false">
      <c r="A4" s="0" t="s">
        <v>65</v>
      </c>
      <c r="B4" s="4" t="n">
        <v>2780</v>
      </c>
      <c r="C4" s="4" t="n">
        <v>2740</v>
      </c>
      <c r="D4" s="4" t="n">
        <f aca="false">B4-C4</f>
        <v>40</v>
      </c>
      <c r="E4" s="0" t="str">
        <f aca="false">IF(D4&gt;0,"▲","▼")</f>
        <v>▲</v>
      </c>
    </row>
    <row r="5" customFormat="false" ht="15" hidden="false" customHeight="false" outlineLevel="0" collapsed="false">
      <c r="A5" s="0" t="s">
        <v>66</v>
      </c>
      <c r="B5" s="13" t="n">
        <v>0.589</v>
      </c>
      <c r="C5" s="13" t="n">
        <v>0.58</v>
      </c>
      <c r="D5" s="13" t="n">
        <f aca="false">B5-C5</f>
        <v>0.00900000000000001</v>
      </c>
      <c r="E5" s="0" t="str">
        <f aca="false">IF(D5&gt;0,"▲","▼")</f>
        <v>▲</v>
      </c>
    </row>
    <row r="6" customFormat="false" ht="15" hidden="false" customHeight="false" outlineLevel="0" collapsed="false">
      <c r="A6" s="0" t="s">
        <v>67</v>
      </c>
      <c r="B6" s="4" t="n">
        <v>145</v>
      </c>
      <c r="C6" s="4" t="n">
        <v>150</v>
      </c>
      <c r="D6" s="4" t="n">
        <f aca="false">B6-C6</f>
        <v>-5</v>
      </c>
      <c r="E6" s="0" t="str">
        <f aca="false">IF(D6&gt;0,"▲","▼")</f>
        <v>▼</v>
      </c>
    </row>
    <row r="7" customFormat="false" ht="15" hidden="false" customHeight="false" outlineLevel="0" collapsed="false">
      <c r="A7" s="0" t="s">
        <v>68</v>
      </c>
      <c r="B7" s="4" t="n">
        <v>690</v>
      </c>
      <c r="C7" s="4" t="n">
        <v>670</v>
      </c>
      <c r="D7" s="4" t="n">
        <f aca="false">B7-C7</f>
        <v>20</v>
      </c>
      <c r="E7" s="0" t="str">
        <f aca="false">IF(D7&gt;0,"▲","▼")</f>
        <v>▲</v>
      </c>
    </row>
    <row r="8" customFormat="false" ht="15" hidden="false" customHeight="false" outlineLevel="0" collapsed="false">
      <c r="A8" s="0" t="s">
        <v>69</v>
      </c>
      <c r="B8" s="13" t="n">
        <v>0.032</v>
      </c>
      <c r="C8" s="13" t="n">
        <v>0.045</v>
      </c>
      <c r="D8" s="13" t="n">
        <f aca="false">B8-C8</f>
        <v>-0.013</v>
      </c>
      <c r="E8" s="0" t="str">
        <f aca="false">IF(D8&gt;0,"▲","▼")</f>
        <v>▼</v>
      </c>
    </row>
    <row r="9" customFormat="false" ht="15" hidden="false" customHeight="false" outlineLevel="0" collapsed="false">
      <c r="A9" s="0" t="s">
        <v>70</v>
      </c>
      <c r="B9" s="15" t="n">
        <v>72</v>
      </c>
      <c r="C9" s="15" t="n">
        <v>68</v>
      </c>
      <c r="D9" s="15" t="n">
        <f aca="false">B9-C9</f>
        <v>4</v>
      </c>
      <c r="E9" s="0" t="str">
        <f aca="false">IF(D9&gt;0,"▲","▼")</f>
        <v>▲</v>
      </c>
    </row>
    <row r="10" customFormat="false" ht="15" hidden="false" customHeight="false" outlineLevel="0" collapsed="false">
      <c r="A10" s="0" t="s">
        <v>71</v>
      </c>
      <c r="B10" s="4" t="n">
        <v>585</v>
      </c>
      <c r="C10" s="4" t="n">
        <v>430</v>
      </c>
      <c r="D10" s="4" t="n">
        <f aca="false">B10-C10</f>
        <v>155</v>
      </c>
      <c r="E10" s="0" t="str">
        <f aca="false">IF(D10&gt;0,"▲","▼")</f>
        <v>▲</v>
      </c>
    </row>
    <row r="11" customFormat="false" ht="15" hidden="false" customHeight="false" outlineLevel="0" collapsed="false">
      <c r="A11" s="0" t="s">
        <v>72</v>
      </c>
      <c r="B11" s="15" t="n">
        <v>2.4</v>
      </c>
      <c r="C11" s="15" t="n">
        <v>2.2</v>
      </c>
      <c r="D11" s="15" t="n">
        <f aca="false">B11-C11</f>
        <v>0.2</v>
      </c>
      <c r="E11" s="0" t="str">
        <f aca="false">IF(D11&gt;0,"▲","▼")</f>
        <v>▲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16" t="s">
        <v>74</v>
      </c>
    </row>
    <row r="4" customFormat="false" ht="15" hidden="false" customHeight="false" outlineLevel="0" collapsed="false">
      <c r="A4" s="6" t="s">
        <v>75</v>
      </c>
    </row>
    <row r="5" customFormat="false" ht="15" hidden="false" customHeight="false" outlineLevel="0" collapsed="false">
      <c r="A5" s="0" t="s">
        <v>76</v>
      </c>
      <c r="B5" s="17" t="n">
        <v>1050</v>
      </c>
    </row>
    <row r="6" customFormat="false" ht="15" hidden="false" customHeight="false" outlineLevel="0" collapsed="false">
      <c r="A6" s="0" t="s">
        <v>77</v>
      </c>
      <c r="B6" s="17" t="n">
        <v>-85</v>
      </c>
    </row>
    <row r="7" customFormat="false" ht="15" hidden="false" customHeight="false" outlineLevel="0" collapsed="false">
      <c r="A7" s="0" t="s">
        <v>78</v>
      </c>
      <c r="B7" s="18" t="n">
        <v>0.03</v>
      </c>
    </row>
    <row r="9" customFormat="false" ht="15" hidden="false" customHeight="false" outlineLevel="0" collapsed="false">
      <c r="A9" s="3" t="s">
        <v>79</v>
      </c>
      <c r="B9" s="3" t="s">
        <v>80</v>
      </c>
      <c r="C9" s="3" t="s">
        <v>81</v>
      </c>
      <c r="D9" s="3" t="s">
        <v>82</v>
      </c>
    </row>
    <row r="10" customFormat="false" ht="15" hidden="false" customHeight="false" outlineLevel="0" collapsed="false">
      <c r="A10" s="0" t="s">
        <v>83</v>
      </c>
      <c r="B10" s="4" t="n">
        <f aca="false">$B$5+$B$6</f>
        <v>965</v>
      </c>
      <c r="C10" s="4" t="n">
        <f aca="false">$B$6</f>
        <v>-85</v>
      </c>
      <c r="D10" s="15" t="n">
        <f aca="false">IF(B10&gt;0,B10/ABS($B$6),0)</f>
        <v>11.3529411764706</v>
      </c>
    </row>
    <row r="11" customFormat="false" ht="15" hidden="false" customHeight="false" outlineLevel="0" collapsed="false">
      <c r="A11" s="0" t="s">
        <v>84</v>
      </c>
      <c r="B11" s="4" t="n">
        <f aca="false">B10+$B$6</f>
        <v>880</v>
      </c>
      <c r="C11" s="4" t="n">
        <f aca="false">$B$6</f>
        <v>-85</v>
      </c>
      <c r="D11" s="15" t="n">
        <f aca="false">IF(B11&gt;0,B11/ABS($B$6),0)</f>
        <v>10.3529411764706</v>
      </c>
    </row>
    <row r="12" customFormat="false" ht="15" hidden="false" customHeight="false" outlineLevel="0" collapsed="false">
      <c r="A12" s="0" t="s">
        <v>85</v>
      </c>
      <c r="B12" s="4" t="n">
        <f aca="false">B11+$B$6</f>
        <v>795</v>
      </c>
      <c r="C12" s="4" t="n">
        <f aca="false">$B$6</f>
        <v>-85</v>
      </c>
      <c r="D12" s="15" t="n">
        <f aca="false">IF(B12&gt;0,B12/ABS($B$6),0)</f>
        <v>9.35294117647059</v>
      </c>
    </row>
    <row r="13" customFormat="false" ht="15" hidden="false" customHeight="false" outlineLevel="0" collapsed="false">
      <c r="A13" s="0" t="s">
        <v>86</v>
      </c>
      <c r="B13" s="4" t="n">
        <f aca="false">B12+$B$6</f>
        <v>710</v>
      </c>
      <c r="C13" s="4" t="n">
        <f aca="false">$B$6</f>
        <v>-85</v>
      </c>
      <c r="D13" s="15" t="n">
        <f aca="false">IF(B13&gt;0,B13/ABS($B$6),0)</f>
        <v>8.35294117647059</v>
      </c>
    </row>
    <row r="14" customFormat="false" ht="15" hidden="false" customHeight="false" outlineLevel="0" collapsed="false">
      <c r="A14" s="0" t="s">
        <v>87</v>
      </c>
      <c r="B14" s="4" t="n">
        <f aca="false">B13+$B$6</f>
        <v>625</v>
      </c>
      <c r="C14" s="4" t="n">
        <f aca="false">$B$6</f>
        <v>-85</v>
      </c>
      <c r="D14" s="15" t="n">
        <f aca="false">IF(B14&gt;0,B14/ABS($B$6),0)</f>
        <v>7.35294117647059</v>
      </c>
    </row>
    <row r="15" customFormat="false" ht="15" hidden="false" customHeight="false" outlineLevel="0" collapsed="false">
      <c r="A15" s="0" t="s">
        <v>88</v>
      </c>
      <c r="B15" s="4" t="n">
        <f aca="false">B14+$B$6</f>
        <v>540</v>
      </c>
      <c r="C15" s="4" t="n">
        <f aca="false">$B$6</f>
        <v>-85</v>
      </c>
      <c r="D15" s="15" t="n">
        <f aca="false">IF(B15&gt;0,B15/ABS($B$6),0)</f>
        <v>6.35294117647059</v>
      </c>
    </row>
    <row r="16" customFormat="false" ht="15" hidden="false" customHeight="false" outlineLevel="0" collapsed="false">
      <c r="A16" s="0" t="s">
        <v>89</v>
      </c>
      <c r="B16" s="4" t="n">
        <f aca="false">B15+$B$6</f>
        <v>455</v>
      </c>
      <c r="C16" s="4" t="n">
        <f aca="false">$B$6</f>
        <v>-85</v>
      </c>
      <c r="D16" s="15" t="n">
        <f aca="false">IF(B16&gt;0,B16/ABS($B$6),0)</f>
        <v>5.35294117647059</v>
      </c>
    </row>
    <row r="17" customFormat="false" ht="15" hidden="false" customHeight="false" outlineLevel="0" collapsed="false">
      <c r="A17" s="0" t="s">
        <v>90</v>
      </c>
      <c r="B17" s="4" t="n">
        <f aca="false">B16+$B$6</f>
        <v>370</v>
      </c>
      <c r="C17" s="4" t="n">
        <f aca="false">$B$6</f>
        <v>-85</v>
      </c>
      <c r="D17" s="15" t="n">
        <f aca="false">IF(B17&gt;0,B17/ABS($B$6),0)</f>
        <v>4.35294117647059</v>
      </c>
    </row>
    <row r="18" customFormat="false" ht="15" hidden="false" customHeight="false" outlineLevel="0" collapsed="false">
      <c r="A18" s="0" t="s">
        <v>91</v>
      </c>
      <c r="B18" s="4" t="n">
        <f aca="false">B17+$B$6</f>
        <v>285</v>
      </c>
      <c r="C18" s="4" t="n">
        <f aca="false">$B$6</f>
        <v>-85</v>
      </c>
      <c r="D18" s="15" t="n">
        <f aca="false">IF(B18&gt;0,B18/ABS($B$6),0)</f>
        <v>3.35294117647059</v>
      </c>
    </row>
    <row r="19" customFormat="false" ht="15" hidden="false" customHeight="false" outlineLevel="0" collapsed="false">
      <c r="A19" s="0" t="s">
        <v>92</v>
      </c>
      <c r="B19" s="4" t="n">
        <f aca="false">B18+$B$6</f>
        <v>200</v>
      </c>
      <c r="C19" s="4" t="n">
        <f aca="false">$B$6</f>
        <v>-85</v>
      </c>
      <c r="D19" s="15" t="n">
        <f aca="false">IF(B19&gt;0,B19/ABS($B$6),0)</f>
        <v>2.35294117647059</v>
      </c>
    </row>
    <row r="20" customFormat="false" ht="15" hidden="false" customHeight="false" outlineLevel="0" collapsed="false">
      <c r="A20" s="0" t="s">
        <v>93</v>
      </c>
      <c r="B20" s="4" t="n">
        <f aca="false">B19+$B$6</f>
        <v>115</v>
      </c>
      <c r="C20" s="4" t="n">
        <f aca="false">$B$6</f>
        <v>-85</v>
      </c>
      <c r="D20" s="15" t="n">
        <f aca="false">IF(B20&gt;0,B20/ABS($B$6),0)</f>
        <v>1.35294117647059</v>
      </c>
    </row>
    <row r="21" customFormat="false" ht="15" hidden="false" customHeight="false" outlineLevel="0" collapsed="false">
      <c r="A21" s="0" t="s">
        <v>94</v>
      </c>
      <c r="B21" s="4" t="n">
        <f aca="false">B20+$B$6</f>
        <v>30</v>
      </c>
      <c r="C21" s="4" t="n">
        <f aca="false">$B$6</f>
        <v>-85</v>
      </c>
      <c r="D21" s="15" t="n">
        <f aca="false">IF(B21&gt;0,B21/ABS($B$6),0)</f>
        <v>0.352941176470588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95</v>
      </c>
    </row>
    <row r="3" customFormat="false" ht="15" hidden="false" customHeight="false" outlineLevel="0" collapsed="false">
      <c r="A3" s="3" t="s">
        <v>60</v>
      </c>
      <c r="B3" s="3" t="s">
        <v>3</v>
      </c>
      <c r="C3" s="3" t="s">
        <v>4</v>
      </c>
      <c r="D3" s="3" t="s">
        <v>5</v>
      </c>
      <c r="E3" s="3" t="s">
        <v>96</v>
      </c>
    </row>
    <row r="4" customFormat="false" ht="15" hidden="false" customHeight="false" outlineLevel="0" collapsed="false">
      <c r="A4" s="0" t="s">
        <v>97</v>
      </c>
      <c r="B4" s="4" t="n">
        <v>220</v>
      </c>
      <c r="C4" s="4" t="n">
        <v>230</v>
      </c>
      <c r="D4" s="4" t="n">
        <v>240</v>
      </c>
      <c r="E4" s="13" t="n">
        <f aca="false">(D4-B4)/B4</f>
        <v>0.0909090909090909</v>
      </c>
    </row>
    <row r="5" customFormat="false" ht="15" hidden="false" customHeight="false" outlineLevel="0" collapsed="false">
      <c r="A5" s="0" t="s">
        <v>98</v>
      </c>
      <c r="B5" s="5" t="n">
        <f aca="false">B4*12</f>
        <v>2640</v>
      </c>
      <c r="C5" s="5" t="n">
        <f aca="false">C4*12</f>
        <v>2760</v>
      </c>
      <c r="D5" s="5" t="n">
        <f aca="false">D4*12</f>
        <v>2880</v>
      </c>
      <c r="E5" s="13" t="n">
        <f aca="false">(D5-B5)/B5</f>
        <v>0.0909090909090909</v>
      </c>
    </row>
    <row r="6" customFormat="false" ht="15" hidden="false" customHeight="false" outlineLevel="0" collapsed="false">
      <c r="A6" s="0" t="s">
        <v>99</v>
      </c>
      <c r="B6" s="0" t="n">
        <v>1250</v>
      </c>
      <c r="C6" s="0" t="n">
        <v>1285</v>
      </c>
      <c r="D6" s="0" t="n">
        <v>1320</v>
      </c>
      <c r="E6" s="13" t="n">
        <f aca="false">(D6-B6)/B6</f>
        <v>0.056</v>
      </c>
    </row>
    <row r="7" customFormat="false" ht="15" hidden="false" customHeight="false" outlineLevel="0" collapsed="false">
      <c r="A7" s="0" t="s">
        <v>100</v>
      </c>
      <c r="B7" s="0" t="n">
        <v>48</v>
      </c>
      <c r="C7" s="0" t="n">
        <v>52</v>
      </c>
      <c r="D7" s="0" t="n">
        <v>55</v>
      </c>
      <c r="E7" s="13" t="n">
        <f aca="false">(D7-B7)/B7</f>
        <v>0.145833333333333</v>
      </c>
    </row>
    <row r="8" customFormat="false" ht="15" hidden="false" customHeight="false" outlineLevel="0" collapsed="false">
      <c r="A8" s="0" t="s">
        <v>101</v>
      </c>
      <c r="B8" s="0" t="n">
        <v>40</v>
      </c>
      <c r="C8" s="0" t="n">
        <v>45</v>
      </c>
      <c r="D8" s="0" t="n">
        <v>42</v>
      </c>
      <c r="E8" s="13" t="n">
        <f aca="false">(D8-B8)/B8</f>
        <v>0.05</v>
      </c>
    </row>
    <row r="9" customFormat="false" ht="15" hidden="false" customHeight="false" outlineLevel="0" collapsed="false">
      <c r="A9" s="0" t="s">
        <v>102</v>
      </c>
      <c r="B9" s="13" t="n">
        <f aca="false">B8/B6</f>
        <v>0.032</v>
      </c>
      <c r="C9" s="13" t="n">
        <f aca="false">C8/C6</f>
        <v>0.0350194552529183</v>
      </c>
      <c r="D9" s="13" t="n">
        <f aca="false">D8/D6</f>
        <v>0.0318181818181818</v>
      </c>
      <c r="E9" s="13" t="n">
        <f aca="false">D9-B9</f>
        <v>-0.000181818181818186</v>
      </c>
    </row>
    <row r="10" customFormat="false" ht="15" hidden="false" customHeight="false" outlineLevel="0" collapsed="false">
      <c r="A10" s="0" t="s">
        <v>103</v>
      </c>
      <c r="B10" s="5" t="n">
        <f aca="false">B4/B6</f>
        <v>0.176</v>
      </c>
      <c r="C10" s="5" t="n">
        <f aca="false">C4/C6</f>
        <v>0.178988326848249</v>
      </c>
      <c r="D10" s="5" t="n">
        <f aca="false">D4/D6</f>
        <v>0.181818181818182</v>
      </c>
      <c r="E10" s="13" t="n">
        <f aca="false">(D10-B10)/B10</f>
        <v>0.0330578512396695</v>
      </c>
    </row>
    <row r="12" customFormat="false" ht="15" hidden="false" customHeight="false" outlineLevel="0" collapsed="false">
      <c r="A12" s="0" t="s">
        <v>104</v>
      </c>
      <c r="B12" s="12" t="n">
        <v>145</v>
      </c>
      <c r="C12" s="12" t="n">
        <v>148</v>
      </c>
      <c r="D12" s="12" t="n">
        <v>142</v>
      </c>
    </row>
    <row r="13" customFormat="false" ht="15" hidden="false" customHeight="false" outlineLevel="0" collapsed="false">
      <c r="A13" s="0" t="s">
        <v>105</v>
      </c>
      <c r="B13" s="12" t="n">
        <v>2640</v>
      </c>
      <c r="C13" s="12" t="n">
        <v>2688</v>
      </c>
      <c r="D13" s="12" t="n">
        <v>2760</v>
      </c>
    </row>
    <row r="14" customFormat="false" ht="15" hidden="false" customHeight="false" outlineLevel="0" collapsed="false">
      <c r="A14" s="0" t="s">
        <v>106</v>
      </c>
      <c r="B14" s="19" t="n">
        <f aca="false">B13/B12</f>
        <v>18.2068965517241</v>
      </c>
      <c r="C14" s="19" t="n">
        <f aca="false">C13/C12</f>
        <v>18.1621621621622</v>
      </c>
      <c r="D14" s="19" t="n">
        <f aca="false">D13/D12</f>
        <v>19.4366197183099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107</v>
      </c>
    </row>
    <row r="3" customFormat="false" ht="15" hidden="false" customHeight="false" outlineLevel="0" collapsed="false">
      <c r="A3" s="3" t="s">
        <v>49</v>
      </c>
      <c r="B3" s="3" t="s">
        <v>6</v>
      </c>
      <c r="C3" s="3" t="s">
        <v>108</v>
      </c>
      <c r="D3" s="3" t="s">
        <v>109</v>
      </c>
      <c r="E3" s="3" t="s">
        <v>110</v>
      </c>
    </row>
    <row r="4" customFormat="false" ht="15" hidden="false" customHeight="false" outlineLevel="0" collapsed="false">
      <c r="A4" s="0" t="s">
        <v>9</v>
      </c>
      <c r="B4" s="4" t="n">
        <v>1425</v>
      </c>
      <c r="C4" s="4" t="n">
        <v>1280</v>
      </c>
      <c r="D4" s="4" t="n">
        <f aca="false">B4-C4</f>
        <v>145</v>
      </c>
      <c r="E4" s="13" t="n">
        <f aca="false">IF(C4=0,"-",D4/C4)</f>
        <v>0.11328125</v>
      </c>
    </row>
    <row r="5" customFormat="false" ht="15" hidden="false" customHeight="false" outlineLevel="0" collapsed="false">
      <c r="A5" s="0" t="s">
        <v>10</v>
      </c>
      <c r="B5" s="4" t="n">
        <v>570</v>
      </c>
      <c r="C5" s="4" t="n">
        <v>490</v>
      </c>
      <c r="D5" s="4" t="n">
        <f aca="false">B5-C5</f>
        <v>80</v>
      </c>
      <c r="E5" s="13" t="n">
        <f aca="false">IF(C5=0,"-",D5/C5)</f>
        <v>0.163265306122449</v>
      </c>
    </row>
    <row r="6" customFormat="false" ht="15" hidden="false" customHeight="false" outlineLevel="0" collapsed="false">
      <c r="A6" s="0" t="s">
        <v>11</v>
      </c>
      <c r="B6" s="4" t="n">
        <v>690</v>
      </c>
      <c r="C6" s="4" t="n">
        <v>580</v>
      </c>
      <c r="D6" s="4" t="n">
        <f aca="false">B6-C6</f>
        <v>110</v>
      </c>
      <c r="E6" s="13" t="n">
        <f aca="false">IF(C6=0,"-",D6/C6)</f>
        <v>0.189655172413793</v>
      </c>
    </row>
    <row r="7" customFormat="false" ht="15" hidden="false" customHeight="false" outlineLevel="0" collapsed="false">
      <c r="A7" s="0" t="s">
        <v>54</v>
      </c>
      <c r="B7" s="4" t="n">
        <v>95</v>
      </c>
      <c r="C7" s="4" t="n">
        <v>85</v>
      </c>
      <c r="D7" s="4" t="n">
        <f aca="false">B7-C7</f>
        <v>10</v>
      </c>
      <c r="E7" s="13" t="n">
        <f aca="false">IF(C7=0,"-",D7/C7)</f>
        <v>0.117647058823529</v>
      </c>
    </row>
    <row r="8" customFormat="false" ht="15" hidden="false" customHeight="false" outlineLevel="0" collapsed="false">
      <c r="A8" s="6" t="s">
        <v>12</v>
      </c>
      <c r="B8" s="7" t="n">
        <f aca="false">SUM(B4:B7)</f>
        <v>2780</v>
      </c>
      <c r="C8" s="7" t="n">
        <f aca="false">SUM(C4:C7)</f>
        <v>2435</v>
      </c>
      <c r="D8" s="7" t="n">
        <f aca="false">B8-C8</f>
        <v>345</v>
      </c>
      <c r="E8" s="14" t="n">
        <f aca="false">D8/C8</f>
        <v>0.141683778234086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111</v>
      </c>
    </row>
    <row r="3" customFormat="false" ht="15" hidden="false" customHeight="false" outlineLevel="0" collapsed="false">
      <c r="A3" s="3" t="s">
        <v>79</v>
      </c>
      <c r="B3" s="3" t="s">
        <v>112</v>
      </c>
      <c r="C3" s="3" t="s">
        <v>113</v>
      </c>
      <c r="D3" s="3" t="s">
        <v>18</v>
      </c>
      <c r="E3" s="3" t="s">
        <v>19</v>
      </c>
    </row>
    <row r="4" customFormat="false" ht="15" hidden="false" customHeight="false" outlineLevel="0" collapsed="false">
      <c r="A4" s="0" t="s">
        <v>114</v>
      </c>
      <c r="B4" s="4" t="n">
        <v>770</v>
      </c>
      <c r="C4" s="4" t="n">
        <f aca="false">-B4*0.41</f>
        <v>-315.7</v>
      </c>
      <c r="D4" s="5" t="n">
        <f aca="false">B4+C4</f>
        <v>454.3</v>
      </c>
      <c r="E4" s="13" t="n">
        <f aca="false">D4/B4</f>
        <v>0.59</v>
      </c>
    </row>
    <row r="5" customFormat="false" ht="15" hidden="false" customHeight="false" outlineLevel="0" collapsed="false">
      <c r="A5" s="0" t="s">
        <v>115</v>
      </c>
      <c r="B5" s="4" t="n">
        <v>785</v>
      </c>
      <c r="C5" s="4" t="n">
        <f aca="false">-B5*0.41</f>
        <v>-321.85</v>
      </c>
      <c r="D5" s="5" t="n">
        <f aca="false">B5+C5</f>
        <v>463.15</v>
      </c>
      <c r="E5" s="13" t="n">
        <f aca="false">D5/B5</f>
        <v>0.59</v>
      </c>
    </row>
    <row r="6" customFormat="false" ht="15" hidden="false" customHeight="false" outlineLevel="0" collapsed="false">
      <c r="A6" s="0" t="s">
        <v>116</v>
      </c>
      <c r="B6" s="4" t="n">
        <v>800</v>
      </c>
      <c r="C6" s="4" t="n">
        <f aca="false">-B6*0.41</f>
        <v>-328</v>
      </c>
      <c r="D6" s="5" t="n">
        <f aca="false">B6+C6</f>
        <v>472</v>
      </c>
      <c r="E6" s="13" t="n">
        <f aca="false">D6/B6</f>
        <v>0.59</v>
      </c>
    </row>
    <row r="7" customFormat="false" ht="15" hidden="false" customHeight="false" outlineLevel="0" collapsed="false">
      <c r="A7" s="0" t="s">
        <v>117</v>
      </c>
      <c r="B7" s="4" t="n">
        <v>820</v>
      </c>
      <c r="C7" s="4" t="n">
        <f aca="false">-B7*0.41</f>
        <v>-336.2</v>
      </c>
      <c r="D7" s="5" t="n">
        <f aca="false">B7+C7</f>
        <v>483.8</v>
      </c>
      <c r="E7" s="13" t="n">
        <f aca="false">D7/B7</f>
        <v>0.59</v>
      </c>
    </row>
    <row r="8" customFormat="false" ht="15" hidden="false" customHeight="false" outlineLevel="0" collapsed="false">
      <c r="A8" s="0" t="s">
        <v>118</v>
      </c>
      <c r="B8" s="4" t="n">
        <v>835</v>
      </c>
      <c r="C8" s="4" t="n">
        <f aca="false">-B8*0.41</f>
        <v>-342.35</v>
      </c>
      <c r="D8" s="5" t="n">
        <f aca="false">B8+C8</f>
        <v>492.65</v>
      </c>
      <c r="E8" s="13" t="n">
        <f aca="false">D8/B8</f>
        <v>0.59</v>
      </c>
    </row>
    <row r="9" customFormat="false" ht="15" hidden="false" customHeight="false" outlineLevel="0" collapsed="false">
      <c r="A9" s="0" t="s">
        <v>119</v>
      </c>
      <c r="B9" s="4" t="n">
        <v>850</v>
      </c>
      <c r="C9" s="4" t="n">
        <f aca="false">-B9*0.41</f>
        <v>-348.5</v>
      </c>
      <c r="D9" s="5" t="n">
        <f aca="false">B9+C9</f>
        <v>501.5</v>
      </c>
      <c r="E9" s="13" t="n">
        <f aca="false">D9/B9</f>
        <v>0.59</v>
      </c>
    </row>
    <row r="10" customFormat="false" ht="15" hidden="false" customHeight="false" outlineLevel="0" collapsed="false">
      <c r="A10" s="0" t="s">
        <v>120</v>
      </c>
      <c r="B10" s="4" t="n">
        <v>865</v>
      </c>
      <c r="C10" s="4" t="n">
        <f aca="false">-B10*0.41</f>
        <v>-354.65</v>
      </c>
      <c r="D10" s="5" t="n">
        <f aca="false">B10+C10</f>
        <v>510.35</v>
      </c>
      <c r="E10" s="13" t="n">
        <f aca="false">D10/B10</f>
        <v>0.59</v>
      </c>
    </row>
    <row r="11" customFormat="false" ht="15" hidden="false" customHeight="false" outlineLevel="0" collapsed="false">
      <c r="A11" s="0" t="s">
        <v>121</v>
      </c>
      <c r="B11" s="4" t="n">
        <v>880</v>
      </c>
      <c r="C11" s="4" t="n">
        <f aca="false">-B11*0.41</f>
        <v>-360.8</v>
      </c>
      <c r="D11" s="5" t="n">
        <f aca="false">B11+C11</f>
        <v>519.2</v>
      </c>
      <c r="E11" s="13" t="n">
        <f aca="false">D11/B11</f>
        <v>0.59</v>
      </c>
    </row>
    <row r="12" customFormat="false" ht="15" hidden="false" customHeight="false" outlineLevel="0" collapsed="false">
      <c r="A12" s="0" t="s">
        <v>122</v>
      </c>
      <c r="B12" s="4" t="n">
        <v>900</v>
      </c>
      <c r="C12" s="4" t="n">
        <f aca="false">-B12*0.41</f>
        <v>-369</v>
      </c>
      <c r="D12" s="5" t="n">
        <f aca="false">B12+C12</f>
        <v>531</v>
      </c>
      <c r="E12" s="13" t="n">
        <f aca="false">D12/B12</f>
        <v>0.59</v>
      </c>
    </row>
    <row r="13" customFormat="false" ht="15" hidden="false" customHeight="false" outlineLevel="0" collapsed="false">
      <c r="A13" s="0" t="s">
        <v>123</v>
      </c>
      <c r="B13" s="4" t="n">
        <v>850</v>
      </c>
      <c r="C13" s="4" t="n">
        <f aca="false">-B13*0.41</f>
        <v>-348.5</v>
      </c>
      <c r="D13" s="5" t="n">
        <f aca="false">B13+C13</f>
        <v>501.5</v>
      </c>
      <c r="E13" s="13" t="n">
        <f aca="false">D13/B13</f>
        <v>0.59</v>
      </c>
    </row>
    <row r="14" customFormat="false" ht="15" hidden="false" customHeight="false" outlineLevel="0" collapsed="false">
      <c r="A14" s="0" t="s">
        <v>124</v>
      </c>
      <c r="B14" s="4" t="n">
        <v>895</v>
      </c>
      <c r="C14" s="4" t="n">
        <f aca="false">-B14*0.41</f>
        <v>-366.95</v>
      </c>
      <c r="D14" s="5" t="n">
        <f aca="false">B14+C14</f>
        <v>528.05</v>
      </c>
      <c r="E14" s="13" t="n">
        <f aca="false">D14/B14</f>
        <v>0.59</v>
      </c>
    </row>
    <row r="15" customFormat="false" ht="15" hidden="false" customHeight="false" outlineLevel="0" collapsed="false">
      <c r="A15" s="0" t="s">
        <v>125</v>
      </c>
      <c r="B15" s="4" t="n">
        <v>935</v>
      </c>
      <c r="C15" s="4" t="n">
        <f aca="false">-B15*0.41</f>
        <v>-383.35</v>
      </c>
      <c r="D15" s="5" t="n">
        <f aca="false">B15+C15</f>
        <v>551.65</v>
      </c>
      <c r="E15" s="13" t="n">
        <f aca="false">D15/B15</f>
        <v>0.59</v>
      </c>
    </row>
    <row r="17" customFormat="false" ht="15" hidden="false" customHeight="false" outlineLevel="0" collapsed="false">
      <c r="A17" s="6" t="s">
        <v>126</v>
      </c>
      <c r="B17" s="8" t="n">
        <f aca="false">AVERAGE(B4:B15)</f>
        <v>848.75</v>
      </c>
      <c r="C17" s="8" t="n">
        <f aca="false">AVERAGE(C4:C15)</f>
        <v>-347.9875</v>
      </c>
      <c r="D17" s="8" t="n">
        <f aca="false">AVERAGE(D4:D15)</f>
        <v>500.7625</v>
      </c>
      <c r="E17" s="9" t="n">
        <f aca="false">AVERAGE(E4:E15)</f>
        <v>0.59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30"/>
  </cols>
  <sheetData>
    <row r="1" customFormat="false" ht="19.7" hidden="false" customHeight="false" outlineLevel="0" collapsed="false">
      <c r="A1" s="20" t="s">
        <v>127</v>
      </c>
    </row>
    <row r="3" customFormat="false" ht="15" hidden="false" customHeight="false" outlineLevel="0" collapsed="false">
      <c r="A3" s="21" t="s">
        <v>128</v>
      </c>
      <c r="B3" s="21"/>
      <c r="C3" s="21"/>
      <c r="D3" s="21"/>
      <c r="E3" s="21"/>
    </row>
    <row r="5" customFormat="false" ht="17.35" hidden="false" customHeight="false" outlineLevel="0" collapsed="false">
      <c r="A5" s="0" t="s">
        <v>129</v>
      </c>
      <c r="B5" s="22" t="n">
        <v>2780</v>
      </c>
      <c r="C5" s="23" t="s">
        <v>130</v>
      </c>
    </row>
    <row r="6" customFormat="false" ht="17.35" hidden="false" customHeight="false" outlineLevel="0" collapsed="false">
      <c r="A6" s="0" t="s">
        <v>66</v>
      </c>
      <c r="B6" s="24" t="n">
        <v>0.589</v>
      </c>
      <c r="C6" s="23" t="s">
        <v>131</v>
      </c>
    </row>
    <row r="7" customFormat="false" ht="17.35" hidden="false" customHeight="false" outlineLevel="0" collapsed="false">
      <c r="A7" s="0" t="s">
        <v>71</v>
      </c>
      <c r="B7" s="22" t="n">
        <v>585</v>
      </c>
      <c r="C7" s="25" t="s">
        <v>132</v>
      </c>
    </row>
    <row r="9" customFormat="false" ht="15" hidden="false" customHeight="false" outlineLevel="0" collapsed="false">
      <c r="A9" s="21" t="s">
        <v>133</v>
      </c>
      <c r="B9" s="21"/>
      <c r="C9" s="21"/>
      <c r="D9" s="21"/>
      <c r="E9" s="21"/>
    </row>
    <row r="11" customFormat="false" ht="15" hidden="false" customHeight="false" outlineLevel="0" collapsed="false">
      <c r="A11" s="26" t="s">
        <v>134</v>
      </c>
      <c r="B11" s="26"/>
      <c r="C11" s="26"/>
      <c r="D11" s="26"/>
      <c r="E11" s="26"/>
    </row>
    <row r="12" customFormat="false" ht="15" hidden="false" customHeight="false" outlineLevel="0" collapsed="false">
      <c r="A12" s="26" t="s">
        <v>135</v>
      </c>
      <c r="B12" s="26"/>
      <c r="C12" s="26"/>
      <c r="D12" s="26"/>
      <c r="E12" s="26"/>
    </row>
    <row r="13" customFormat="false" ht="15" hidden="false" customHeight="false" outlineLevel="0" collapsed="false">
      <c r="A13" s="26" t="s">
        <v>136</v>
      </c>
      <c r="B13" s="26"/>
      <c r="C13" s="26"/>
      <c r="D13" s="26"/>
      <c r="E13" s="26"/>
    </row>
    <row r="14" customFormat="false" ht="15" hidden="false" customHeight="false" outlineLevel="0" collapsed="false">
      <c r="A14" s="26" t="s">
        <v>137</v>
      </c>
      <c r="B14" s="26"/>
      <c r="C14" s="26"/>
      <c r="D14" s="26"/>
      <c r="E14" s="26"/>
    </row>
    <row r="15" customFormat="false" ht="15" hidden="false" customHeight="false" outlineLevel="0" collapsed="false">
      <c r="A15" s="26" t="s">
        <v>138</v>
      </c>
      <c r="B15" s="26"/>
      <c r="C15" s="26"/>
      <c r="D15" s="26"/>
      <c r="E15" s="26"/>
    </row>
    <row r="17" customFormat="false" ht="15" hidden="false" customHeight="false" outlineLevel="0" collapsed="false">
      <c r="A17" s="27" t="s">
        <v>139</v>
      </c>
      <c r="B17" s="27"/>
      <c r="C17" s="27"/>
      <c r="D17" s="27"/>
      <c r="E17" s="27"/>
    </row>
    <row r="19" customFormat="false" ht="15" hidden="false" customHeight="false" outlineLevel="0" collapsed="false">
      <c r="A19" s="26" t="s">
        <v>140</v>
      </c>
      <c r="B19" s="26"/>
      <c r="C19" s="26"/>
      <c r="D19" s="26"/>
      <c r="E19" s="26"/>
    </row>
    <row r="20" customFormat="false" ht="15" hidden="false" customHeight="false" outlineLevel="0" collapsed="false">
      <c r="A20" s="26" t="s">
        <v>141</v>
      </c>
      <c r="B20" s="26"/>
      <c r="C20" s="26"/>
      <c r="D20" s="26"/>
      <c r="E20" s="26"/>
    </row>
    <row r="21" customFormat="false" ht="15" hidden="false" customHeight="false" outlineLevel="0" collapsed="false">
      <c r="A21" s="26" t="s">
        <v>142</v>
      </c>
      <c r="B21" s="26"/>
      <c r="C21" s="26"/>
      <c r="D21" s="26"/>
      <c r="E21" s="26"/>
    </row>
    <row r="22" customFormat="false" ht="15" hidden="false" customHeight="false" outlineLevel="0" collapsed="false">
      <c r="A22" s="26" t="s">
        <v>143</v>
      </c>
      <c r="B22" s="26"/>
      <c r="C22" s="26"/>
      <c r="D22" s="26"/>
      <c r="E22" s="26"/>
    </row>
  </sheetData>
  <mergeCells count="12">
    <mergeCell ref="A3:E3"/>
    <mergeCell ref="A9:E9"/>
    <mergeCell ref="A11:E11"/>
    <mergeCell ref="A12:E12"/>
    <mergeCell ref="A13:E13"/>
    <mergeCell ref="A14:E14"/>
    <mergeCell ref="A15:E15"/>
    <mergeCell ref="A17:E17"/>
    <mergeCell ref="A19:E19"/>
    <mergeCell ref="A20:E20"/>
    <mergeCell ref="A21:E21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2026-02-05T03:37:23Z</dcterms:created>
  <dc:creator>openpyxl</dc:creator>
  <dc:description/>
  <dc:language>en-US</dc:language>
  <cp:lastModifiedBy/>
  <dcterms:modified xsi:type="dcterms:W3CDTF">2026-02-05T03:37:23Z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